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ff8389547447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105b0db6b024090"/>
    <x:sheet xmlns:r="http://schemas.openxmlformats.org/officeDocument/2006/relationships" name="Bug_Register" sheetId="2" r:id="R3418ab8ae9e04f6c"/>
    <x:sheet xmlns:r="http://schemas.openxmlformats.org/officeDocument/2006/relationships" name="Categories" sheetId="3" r:id="R1bb15c287f1140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5B9BD5"/>
      </x:patternFill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72c8831dd44367" /><Relationship Type="http://schemas.openxmlformats.org/officeDocument/2006/relationships/theme" Target="/xl/theme/theme1.xml" Id="R0f9d9273363246d7" /><Relationship Type="http://schemas.openxmlformats.org/officeDocument/2006/relationships/sharedStrings" Target="/xl/sharedStrings.xml" Id="R79bb9ffb0b004004" /><Relationship Type="http://schemas.openxmlformats.org/officeDocument/2006/relationships/worksheet" Target="/xl/worksheets/sheet1.xml" Id="R1105b0db6b024090" /><Relationship Type="http://schemas.openxmlformats.org/officeDocument/2006/relationships/worksheet" Target="/xl/worksheets/sheet2.xml" Id="R3418ab8ae9e04f6c" /><Relationship Type="http://schemas.openxmlformats.org/officeDocument/2006/relationships/worksheet" Target="/xl/worksheets/sheet3.xml" Id="R1bb15c287f1140e9" /></Relationships>
</file>

<file path=xl/tables/table1.xml><?xml version="1.0" encoding="utf-8"?>
<x:table xmlns:x="http://schemas.openxmlformats.org/spreadsheetml/2006/main" id="1" name="BugRegisterTable" displayName="BugRegisterTable" ref="A1:Q15" headerRowCount="1">
  <x:tableColumns count="17">
    <x:tableColumn id="1" name="ID"/>
    <x:tableColumn id="2" name="Type"/>
    <x:tableColumn id="3" name="System"/>
    <x:tableColumn id="4" name="Module / Area"/>
    <x:tableColumn id="5" name="Severity"/>
    <x:tableColumn id="6" name="Priority"/>
    <x:tableColumn id="7" name="Description"/>
    <x:tableColumn id="8" name="Evidence / Source"/>
    <x:tableColumn id="9" name="Root Cause"/>
    <x:tableColumn id="10" name="Impact"/>
    <x:tableColumn id="11" name="Owner"/>
    <x:tableColumn id="12" name="Status"/>
    <x:tableColumn id="13" name="Date Reported"/>
    <x:tableColumn id="14" name="Target Fix Date"/>
    <x:tableColumn id="15" name="Resolution / Fix"/>
    <x:tableColumn id="16" name="Retest Evidence"/>
    <x:tableColumn id="1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7b616b0f234b5d" /></Relationships>
</file>

<file path=xl/worksheets/sheet1.xml><?xml version="1.0" encoding="utf-8"?>
<x:worksheet xmlns:x="http://schemas.openxmlformats.org/spreadsheetml/2006/main">
  <x:sheetFormatPr defaultRowHeight="15"/>
  <x:cols>
    <x:col min="1" max="1" width="24.899999618530273" hidden="0" customWidth="1"/>
    <x:col min="2" max="2" width="18.170000076293945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12" t="str">
        <x:v>Defect / Bug Register - HVAS + MUBS</x:v>
      </x:c>
      <x:c r="B1" s="13" t="str"/>
      <x:c r="C1" s="13" t="str"/>
      <x:c r="D1" s="13" t="str"/>
      <x:c r="E1" s="13" t="str"/>
      <x:c r="F1" s="13" t="str"/>
      <x:c r="G1" s="13" t="str"/>
      <x:c r="H1" s="13" t="str"/>
    </x:row>
    <x:row r="2">
      <x:c r="A2" s="13"/>
      <x:c r="B2" s="13"/>
      <x:c r="C2" s="13"/>
      <x:c r="D2" s="13"/>
      <x:c r="E2" s="13"/>
      <x:c r="F2" s="13"/>
      <x:c r="G2" s="13"/>
      <x:c r="H2" s="13"/>
    </x:row>
    <x:row r="3">
      <x:c r="A3" s="14" t="str">
        <x:v>Metric</x:v>
      </x:c>
      <x:c r="B3" s="14" t="str">
        <x:v>Formula</x:v>
      </x:c>
      <x:c r="C3" s="13"/>
      <x:c r="D3" s="13"/>
      <x:c r="E3" s="13"/>
      <x:c r="F3" s="13"/>
      <x:c r="G3" s="13"/>
      <x:c r="H3" s="13"/>
    </x:row>
    <x:row r="4">
      <x:c r="A4" s="13" t="str">
        <x:v>Total Items</x:v>
      </x:c>
      <x:c r="B4" s="13" t="n">
        <x:f>COUNTA(Bug_Register!A2:A200)</x:f>
        <x:v>14</x:v>
      </x:c>
      <x:c r="C4" s="13"/>
      <x:c r="D4" s="13"/>
      <x:c r="E4" s="13"/>
      <x:c r="F4" s="13"/>
      <x:c r="G4" s="13"/>
      <x:c r="H4" s="13"/>
    </x:row>
    <x:row r="5">
      <x:c r="A5" s="13" t="str">
        <x:v>Open</x:v>
      </x:c>
      <x:c r="B5" s="13" t="n">
        <x:f>COUNTIF(Bug_Register!L:L,"Open")</x:f>
        <x:v>6</x:v>
      </x:c>
      <x:c r="C5" s="13"/>
      <x:c r="D5" s="13"/>
      <x:c r="E5" s="13"/>
      <x:c r="F5" s="13"/>
      <x:c r="G5" s="13"/>
      <x:c r="H5" s="13"/>
    </x:row>
    <x:row r="6">
      <x:c r="A6" s="13" t="str">
        <x:v>In Progress</x:v>
      </x:c>
      <x:c r="B6" s="13" t="n">
        <x:f>COUNTIF(Bug_Register!L:L,"In Progress")</x:f>
        <x:v>1</x:v>
      </x:c>
      <x:c r="C6" s="13"/>
      <x:c r="D6" s="13"/>
      <x:c r="E6" s="13"/>
      <x:c r="F6" s="13"/>
      <x:c r="G6" s="13"/>
      <x:c r="H6" s="13"/>
    </x:row>
    <x:row r="7">
      <x:c r="A7" s="13" t="str">
        <x:v>Closed</x:v>
      </x:c>
      <x:c r="B7" s="13" t="n">
        <x:f>COUNTIF(Bug_Register!L:L,"Closed")</x:f>
        <x:v>7</x:v>
      </x:c>
      <x:c r="C7" s="13"/>
      <x:c r="D7" s="13"/>
      <x:c r="E7" s="13"/>
      <x:c r="F7" s="13"/>
      <x:c r="G7" s="13"/>
      <x:c r="H7" s="13"/>
    </x:row>
    <x:row r="8">
      <x:c r="A8" s="13" t="str">
        <x:v>Critical/High Priority</x:v>
      </x:c>
      <x:c r="B8" s="13" t="n">
        <x:f>COUNTIF(Bug_Register!F:F,"High")</x:f>
        <x:v>10</x:v>
      </x:c>
      <x:c r="C8" s="13"/>
      <x:c r="D8" s="13"/>
      <x:c r="E8" s="13"/>
      <x:c r="F8" s="13"/>
      <x:c r="G8" s="13"/>
      <x:c r="H8" s="13"/>
    </x:row>
    <x:row r="9">
      <x:c r="A9" s="13"/>
      <x:c r="B9" s="13"/>
      <x:c r="C9" s="13"/>
      <x:c r="D9" s="13"/>
      <x:c r="E9" s="13"/>
      <x:c r="F9" s="13"/>
      <x:c r="G9" s="13"/>
      <x:c r="H9" s="13"/>
    </x:row>
    <x:row r="10">
      <x:c r="A10" s="13"/>
      <x:c r="B10" s="13"/>
      <x:c r="C10" s="13"/>
      <x:c r="D10" s="13"/>
      <x:c r="E10" s="13"/>
      <x:c r="F10" s="13"/>
      <x:c r="G10" s="13"/>
      <x:c r="H10" s="13"/>
    </x:row>
    <x:row r="11">
      <x:c r="A11" s="13"/>
      <x:c r="B11" s="13"/>
      <x:c r="C11" s="13"/>
      <x:c r="D11" s="13"/>
      <x:c r="E11" s="13"/>
      <x:c r="F11" s="13"/>
      <x:c r="G11" s="13"/>
      <x:c r="H11" s="13"/>
    </x:row>
    <x:row r="12">
      <x:c r="A12" s="13"/>
      <x:c r="B12" s="13"/>
      <x:c r="C12" s="13"/>
      <x:c r="D12" s="13"/>
      <x:c r="E12" s="13"/>
      <x:c r="F12" s="13"/>
      <x:c r="G12" s="13"/>
      <x:c r="H12" s="13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.09000015258789" hidden="0" customWidth="1"/>
    <x:col min="2" max="2" width="14.800000190734863" hidden="0" customWidth="1"/>
    <x:col min="3" max="3" width="10.09000015258789" hidden="0" customWidth="1"/>
    <x:col min="4" max="4" width="22.209999084472656" hidden="0" customWidth="1"/>
    <x:col min="5" max="5" width="11.4399995803833" hidden="0" customWidth="1"/>
    <x:col min="6" max="6" width="11.4399995803833" hidden="0" customWidth="1"/>
    <x:col min="7" max="7" width="34.31999969482422" hidden="0" customWidth="1"/>
    <x:col min="8" max="8" width="34.31999969482422" hidden="0" customWidth="1"/>
    <x:col min="9" max="9" width="34.31999969482422" hidden="0" customWidth="1"/>
    <x:col min="10" max="10" width="34.31999969482422" hidden="0" customWidth="1"/>
    <x:col min="11" max="11" width="14.800000190734863" hidden="0" customWidth="1"/>
    <x:col min="12" max="12" width="13.460000038146973" hidden="0" customWidth="1"/>
    <x:col min="13" max="13" width="14.130000114440918" hidden="0" customWidth="1"/>
    <x:col min="14" max="14" width="14.130000114440918" hidden="0" customWidth="1"/>
    <x:col min="15" max="15" width="34.31999969482422" hidden="0" customWidth="1"/>
    <x:col min="16" max="16" width="34.31999969482422" hidden="0" customWidth="1"/>
    <x:col min="17" max="17" width="34.31999969482422" hidden="0" customWidth="1"/>
  </x:cols>
  <x:sheetData>
    <x:row r="1" ht="27" customHeight="1">
      <x:c r="A1" s="26" t="str">
        <x:v>ID</x:v>
      </x:c>
      <x:c r="B1" s="26" t="str">
        <x:v>Type</x:v>
      </x:c>
      <x:c r="C1" s="26" t="str">
        <x:v>System</x:v>
      </x:c>
      <x:c r="D1" s="26" t="str">
        <x:v>Module / Area</x:v>
      </x:c>
      <x:c r="E1" s="26" t="str">
        <x:v>Severity</x:v>
      </x:c>
      <x:c r="F1" s="26" t="str">
        <x:v>Priority</x:v>
      </x:c>
      <x:c r="G1" s="26" t="str">
        <x:v>Description</x:v>
      </x:c>
      <x:c r="H1" s="26" t="str">
        <x:v>Evidence / Source</x:v>
      </x:c>
      <x:c r="I1" s="26" t="str">
        <x:v>Root Cause</x:v>
      </x:c>
      <x:c r="J1" s="26" t="str">
        <x:v>Impact</x:v>
      </x:c>
      <x:c r="K1" s="26" t="str">
        <x:v>Owner</x:v>
      </x:c>
      <x:c r="L1" s="26" t="str">
        <x:v>Status</x:v>
      </x:c>
      <x:c r="M1" s="26" t="str">
        <x:v>Date Reported</x:v>
      </x:c>
      <x:c r="N1" s="26" t="str">
        <x:v>Target Fix Date</x:v>
      </x:c>
      <x:c r="O1" s="26" t="str">
        <x:v>Resolution / Fix</x:v>
      </x:c>
      <x:c r="P1" s="26" t="str">
        <x:v>Retest Evidence</x:v>
      </x:c>
      <x:c r="Q1" s="26" t="str">
        <x:v>Notes</x:v>
      </x:c>
    </x:row>
    <x:row r="2" ht="54" customHeight="1">
      <x:c r="A2" s="25" t="str">
        <x:v>QA-001</x:v>
      </x:c>
      <x:c r="B2" s="25" t="str">
        <x:v>Test Gap</x:v>
      </x:c>
      <x:c r="C2" s="25" t="str">
        <x:v>HVAS</x:v>
      </x:c>
      <x:c r="D2" s="25" t="str">
        <x:v>Automated tests</x:v>
      </x:c>
      <x:c r="E2" s="25" t="str">
        <x:v>Medium</x:v>
      </x:c>
      <x:c r="F2" s="25" t="str">
        <x:v>High</x:v>
      </x:c>
      <x:c r="G2" s="25" t="str">
        <x:v>HVAS Python test files are placeholders and do not contain executable assertions.</x:v>
      </x:c>
      <x:c r="H2" s="25" t="str">
        <x:v>Codebase audit: tests/test_detection_logic.py, test_storage_integration.py, test_video_ingestion.py</x:v>
      </x:c>
      <x:c r="I2" s="25" t="str">
        <x:v>Tests were planned but not implemented in codebase.</x:v>
      </x:c>
      <x:c r="J2" s="25" t="str">
        <x:v>Weakens automated QA evidence for HVAS.</x:v>
      </x:c>
      <x:c r="K2" s="25" t="str">
        <x:v>&lt;owner&gt;</x:v>
      </x:c>
      <x:c r="L2" s="25" t="str">
        <x:v>Open</x:v>
      </x:c>
      <x:c r="M2" s="25" t="str">
        <x:v>&lt;date&gt;</x:v>
      </x:c>
      <x:c r="N2" s="25" t="str">
        <x:v>&lt;date&gt;</x:v>
      </x:c>
      <x:c r="O2" s="25" t="str">
        <x:v>Add pytest assertions or document manual testing evidence.</x:v>
      </x:c>
      <x:c r="P2" s="25" t="str">
        <x:v>&lt;path&gt;</x:v>
      </x:c>
      <x:c r="Q2" s="25" t="str"/>
    </x:row>
    <x:row r="3" ht="54" customHeight="1">
      <x:c r="A3" s="25" t="str">
        <x:v>QA-002</x:v>
      </x:c>
      <x:c r="B3" s="25" t="str">
        <x:v>Security/Config Gap</x:v>
      </x:c>
      <x:c r="C3" s="25" t="str">
        <x:v>Both</x:v>
      </x:c>
      <x:c r="D3" s="25" t="str">
        <x:v>Environment templates</x:v>
      </x:c>
      <x:c r="E3" s="25" t="str">
        <x:v>High</x:v>
      </x:c>
      <x:c r="F3" s="25" t="str">
        <x:v>High</x:v>
      </x:c>
      <x:c r="G3" s="25" t="str">
        <x:v>No .env.example or safe configuration template was found while sensitive configuration files exist.</x:v>
      </x:c>
      <x:c r="H3" s="25" t="str">
        <x:v>Codebase audit environment/config findings</x:v>
      </x:c>
      <x:c r="I3" s="25" t="str">
        <x:v>Configuration remained local/demo oriented.</x:v>
      </x:c>
      <x:c r="J3" s="25" t="str">
        <x:v>Risk of secret exposure and weak handover reproducibility.</x:v>
      </x:c>
      <x:c r="K3" s="25" t="str">
        <x:v>&lt;owner&gt;</x:v>
      </x:c>
      <x:c r="L3" s="25" t="str">
        <x:v>Open</x:v>
      </x:c>
      <x:c r="M3" s="25" t="str">
        <x:v>&lt;date&gt;</x:v>
      </x:c>
      <x:c r="N3" s="25" t="str">
        <x:v>&lt;date&gt;</x:v>
      </x:c>
      <x:c r="O3" s="25" t="str">
        <x:v>Create sanitised templates and redact screenshots/files.</x:v>
      </x:c>
      <x:c r="P3" s="25" t="str">
        <x:v>&lt;path&gt;</x:v>
      </x:c>
      <x:c r="Q3" s="25" t="str"/>
    </x:row>
    <x:row r="4" ht="54" customHeight="1">
      <x:c r="A4" s="25" t="str">
        <x:v>QA-003</x:v>
      </x:c>
      <x:c r="B4" s="25" t="str">
        <x:v>Documentation Gap</x:v>
      </x:c>
      <x:c r="C4" s="25" t="str">
        <x:v>HVAS</x:v>
      </x:c>
      <x:c r="D4" s="25" t="str">
        <x:v>API documentation</x:v>
      </x:c>
      <x:c r="E4" s="25" t="str">
        <x:v>Medium</x:v>
      </x:c>
      <x:c r="F4" s="25" t="str">
        <x:v>Medium</x:v>
      </x:c>
      <x:c r="G4" s="25" t="str">
        <x:v>OpenAPI/Postman documentation is incomplete compared with implemented routes.</x:v>
      </x:c>
      <x:c r="H4" s="25" t="str">
        <x:v>Codebase audit API documentation section</x:v>
      </x:c>
      <x:c r="I4" s="25" t="str">
        <x:v>Source routes exist but formal API spec is minimal.</x:v>
      </x:c>
      <x:c r="J4" s="25" t="str">
        <x:v>Makes API evidence harder for assessors to verify.</x:v>
      </x:c>
      <x:c r="K4" s="25" t="str">
        <x:v>&lt;owner&gt;</x:v>
      </x:c>
      <x:c r="L4" s="25" t="str">
        <x:v>Open</x:v>
      </x:c>
      <x:c r="M4" s="25" t="str">
        <x:v>&lt;date&gt;</x:v>
      </x:c>
      <x:c r="N4" s="25" t="str">
        <x:v>&lt;date&gt;</x:v>
      </x:c>
      <x:c r="O4" s="25" t="str">
        <x:v>Export or write final API collection/specification.</x:v>
      </x:c>
      <x:c r="P4" s="25" t="str">
        <x:v>&lt;path&gt;</x:v>
      </x:c>
      <x:c r="Q4" s="25" t="str"/>
    </x:row>
    <x:row r="5" ht="54" customHeight="1">
      <x:c r="A5" s="25" t="str">
        <x:v>QA-004</x:v>
      </x:c>
      <x:c r="B5" s="25" t="str">
        <x:v>Test Evidence Gap</x:v>
      </x:c>
      <x:c r="C5" s="25" t="str">
        <x:v>Both</x:v>
      </x:c>
      <x:c r="D5" s="25" t="str">
        <x:v>Runtime evidence</x:v>
      </x:c>
      <x:c r="E5" s="25" t="str">
        <x:v>High</x:v>
      </x:c>
      <x:c r="F5" s="25" t="str">
        <x:v>High</x:v>
      </x:c>
      <x:c r="G5" s="25" t="str">
        <x:v>Executed test logs and runtime screenshots are not present in repository evidence.</x:v>
      </x:c>
      <x:c r="H5" s="25" t="str">
        <x:v>Codebase audit top missing materials</x:v>
      </x:c>
      <x:c r="I5" s="25" t="str">
        <x:v>Static audit cannot prove final runtime behaviour.</x:v>
      </x:c>
      <x:c r="J5" s="25" t="str">
        <x:v>Final system test report remains incomplete without screenshots/logs.</x:v>
      </x:c>
      <x:c r="K5" s="25" t="str">
        <x:v>&lt;owner&gt;</x:v>
      </x:c>
      <x:c r="L5" s="25" t="str">
        <x:v>Open</x:v>
      </x:c>
      <x:c r="M5" s="25" t="str">
        <x:v>&lt;date&gt;</x:v>
      </x:c>
      <x:c r="N5" s="25" t="str">
        <x:v>&lt;date&gt;</x:v>
      </x:c>
      <x:c r="O5" s="25" t="str">
        <x:v>Capture screenshots/logs and link them in test report.</x:v>
      </x:c>
      <x:c r="P5" s="25" t="str">
        <x:v>&lt;path&gt;</x:v>
      </x:c>
      <x:c r="Q5" s="25" t="str"/>
    </x:row>
    <x:row r="6" ht="54" customHeight="1">
      <x:c r="A6" s="25" t="str">
        <x:v>QA-005</x:v>
      </x:c>
      <x:c r="B6" s="25" t="str">
        <x:v>Security Limitation</x:v>
      </x:c>
      <x:c r="C6" s="25" t="str">
        <x:v>HVAS</x:v>
      </x:c>
      <x:c r="D6" s="25" t="str">
        <x:v>Prototype APIs</x:v>
      </x:c>
      <x:c r="E6" s="25" t="str">
        <x:v>Medium</x:v>
      </x:c>
      <x:c r="F6" s="25" t="str">
        <x:v>Medium</x:v>
      </x:c>
      <x:c r="G6" s="25" t="str">
        <x:v>Several HVAS routes appear unauthenticated in the local prototype.</x:v>
      </x:c>
      <x:c r="H6" s="25" t="str">
        <x:v>Codebase audit API/security notes</x:v>
      </x:c>
      <x:c r="I6" s="25" t="str">
        <x:v>Prototype prioritised integration over production-grade security.</x:v>
      </x:c>
      <x:c r="J6" s="25" t="str">
        <x:v>Must be documented as limitation or improved before real deployment.</x:v>
      </x:c>
      <x:c r="K6" s="25" t="str">
        <x:v>&lt;owner&gt;</x:v>
      </x:c>
      <x:c r="L6" s="25" t="str">
        <x:v>Open</x:v>
      </x:c>
      <x:c r="M6" s="25" t="str">
        <x:v>&lt;date&gt;</x:v>
      </x:c>
      <x:c r="N6" s="25" t="str">
        <x:v>&lt;date&gt;</x:v>
      </x:c>
      <x:c r="O6" s="25" t="str">
        <x:v>Document limitation and consider API key/JWT protection.</x:v>
      </x:c>
      <x:c r="P6" s="25" t="str">
        <x:v>&lt;path&gt;</x:v>
      </x:c>
      <x:c r="Q6" s="25" t="str"/>
    </x:row>
    <x:row r="7" ht="54" customHeight="1">
      <x:c r="A7" s="25" t="str">
        <x:v>QA-006</x:v>
      </x:c>
      <x:c r="B7" s="25" t="str">
        <x:v>Process Evidence Gap</x:v>
      </x:c>
      <x:c r="C7" s="25" t="str">
        <x:v>Both</x:v>
      </x:c>
      <x:c r="D7" s="25" t="str">
        <x:v>Formal QA records</x:v>
      </x:c>
      <x:c r="E7" s="25" t="str">
        <x:v>Low</x:v>
      </x:c>
      <x:c r="F7" s="25" t="str">
        <x:v>Medium</x:v>
      </x:c>
      <x:c r="G7" s="25" t="str">
        <x:v>Code review, Fagan inspection and acceptance records were not found in repository.</x:v>
      </x:c>
      <x:c r="H7" s="25" t="str">
        <x:v>Codebase audit QA section</x:v>
      </x:c>
      <x:c r="I7" s="25" t="str">
        <x:v>Formal QA artefacts were not stored in code repository.</x:v>
      </x:c>
      <x:c r="J7" s="25" t="str">
        <x:v>Portfolio QA evidence may appear incomplete.</x:v>
      </x:c>
      <x:c r="K7" s="25" t="str">
        <x:v>&lt;owner&gt;</x:v>
      </x:c>
      <x:c r="L7" s="25" t="str">
        <x:v>Open</x:v>
      </x:c>
      <x:c r="M7" s="25" t="str">
        <x:v>&lt;date&gt;</x:v>
      </x:c>
      <x:c r="N7" s="25" t="str">
        <x:v>&lt;date&gt;</x:v>
      </x:c>
      <x:c r="O7" s="25" t="str">
        <x:v>Complete provided templates with real review/acceptance evidence.</x:v>
      </x:c>
      <x:c r="P7" s="25" t="str">
        <x:v>&lt;path&gt;</x:v>
      </x:c>
      <x:c r="Q7" s="25" t="str"/>
    </x:row>
    <x:row r="8" ht="97.5" customHeight="1">
      <x:c r="A8" s="25" t="str">
        <x:v>QA-007</x:v>
      </x:c>
      <x:c r="B8" s="25" t="str">
        <x:v>Bug</x:v>
      </x:c>
      <x:c r="C8" s="25" t="str">
        <x:v>HVAS</x:v>
      </x:c>
      <x:c r="D8" s="25" t="str">
        <x:v>Stream Manager / task update</x:v>
      </x:c>
      <x:c r="E8" s="25" t="str">
        <x:v>High</x:v>
      </x:c>
      <x:c r="F8" s="25" t="str">
        <x:v>High</x:v>
      </x:c>
      <x:c r="G8" s="25" t="str">
        <x:v>Updating a configured RTSP stream to enable multiple tasks could return HTTP 409 CONFLICT instead of applying the new task set.</x:v>
      </x:c>
      <x:c r="H8" s="25" t="str">
        <x:v>User-reported browser error: Failed to load resource: the server responded with a status of 409 (CONFLICT) during multi-task update.</x:v>
      </x:c>
      <x:c r="I8" s="25" t="str">
        <x:v>The task-update path can hit a runtime switching conflict while replacing handlers/executors, and the UI/server flow did not make the operation safely retryable for operators.</x:v>
      </x:c>
      <x:c r="J8" s="25" t="str">
        <x:v>Operators may be blocked from running smoke/fire and parking-fence detection on the same RTSP stream.</x:v>
      </x:c>
      <x:c r="K8" s="25" t="str">
        <x:v>HVAS Developer</x:v>
      </x:c>
      <x:c r="L8" s="25" t="str">
        <x:v>In Progress</x:v>
      </x:c>
      <x:c r="M8" s="25" t="str">
        <x:v>2026-05-06</x:v>
      </x:c>
      <x:c r="N8" s="25" t="str">
        <x:v>2026-05-08</x:v>
      </x:c>
      <x:c r="O8" s="25" t="str">
        <x:v>Make task replacement idempotent or surface a retry path, then confirm PUT /api/streams/&lt;stream_id&gt;/tasks returns 200 for combined task sets.</x:v>
      </x:c>
      <x:c r="P8" s="25" t="str">
        <x:v>Pending final UI/Postman retest with parking_violation + smoke_flame on one stream.</x:v>
      </x:c>
      <x:c r="Q8" s="25" t="str">
        <x:v>Conversation defect; related code area: backend/api/stream_routes.py and backend/services/stream_manager.py.</x:v>
      </x:c>
    </x:row>
    <x:row r="9" ht="97.5" customHeight="1">
      <x:c r="A9" s="25" t="str">
        <x:v>QA-008</x:v>
      </x:c>
      <x:c r="B9" s="25" t="str">
        <x:v>Bug</x:v>
      </x:c>
      <x:c r="C9" s="25" t="str">
        <x:v>HVAS</x:v>
      </x:c>
      <x:c r="D9" s="25" t="str">
        <x:v>RTSP sampling / executor</x:v>
      </x:c>
      <x:c r="E9" s="25" t="str">
        <x:v>High</x:v>
      </x:c>
      <x:c r="F9" s="25" t="str">
        <x:v>High</x:v>
      </x:c>
      <x:c r="G9" s="25" t="str">
        <x:v>A single stream-level sampling rate forced incompatible detection tasks to use the same cadence.</x:v>
      </x:c>
      <x:c r="H9" s="25" t="str">
        <x:v>Discussion noted smoke/fire should not be sparsely sampled, parking fence should not run full-frame, and three full-frame RTSP streams could create queue/memory pressure.</x:v>
      </x:c>
      <x:c r="I9" s="25" t="str">
        <x:v>Sampling interval was managed at stream/capture level instead of per detection task.</x:v>
      </x:c>
      <x:c r="J9" s="25" t="str">
        <x:v>Multi-stream deployments could either miss smoke/fire signals or waste compute on parking detection, increasing latency and queue pressure.</x:v>
      </x:c>
      <x:c r="K9" s="25" t="str">
        <x:v>HVAS Developer</x:v>
      </x:c>
      <x:c r="L9" s="25" t="str">
        <x:v>Closed</x:v>
      </x:c>
      <x:c r="M9" s="25" t="str">
        <x:v>2026-05-06</x:v>
      </x:c>
      <x:c r="N9" s="25" t="str">
        <x:v>2026-05-06</x:v>
      </x:c>
      <x:c r="O9" s="25" t="str">
        <x:v>Implemented task-level sampling intervals and exposed task_sample_intervals_sec metrics; parking defaults to 0.5s while smoke/flame can use a faster interval.</x:v>
      </x:c>
      <x:c r="P9" s="25" t="str">
        <x:v>Runtime metrics show capture_sample_interval_sec and task_sample_intervals_sec per stream/task.</x:v>
      </x:c>
      <x:c r="Q9" s="25" t="str">
        <x:v>Related files: backend/main.py, backend/services/stream_runtime.py, backend/utils/frame_capture.py, frontend/src/views/StreamManager.vue.</x:v>
      </x:c>
    </x:row>
    <x:row r="10" ht="97.5" customHeight="1">
      <x:c r="A10" s="25" t="str">
        <x:v>QA-009</x:v>
      </x:c>
      <x:c r="B10" s="25" t="str">
        <x:v>Bug</x:v>
      </x:c>
      <x:c r="C10" s="25" t="str">
        <x:v>HVAS</x:v>
      </x:c>
      <x:c r="D10" s="25" t="str">
        <x:v>Parking fence GUI startup</x:v>
      </x:c>
      <x:c r="E10" s="25" t="str">
        <x:v>Medium</x:v>
      </x:c>
      <x:c r="F10" s="25" t="str">
        <x:v>High</x:v>
      </x:c>
      <x:c r="G10" s="25" t="str">
        <x:v>Opening the parking-fence drawing GUI could take 7 to 8 seconds.</x:v>
      </x:c>
      <x:c r="H10" s="25" t="str">
        <x:v>User reported long delay when configuring electronic fence before GUI appeared.</x:v>
      </x:c>
      <x:c r="I10" s="25" t="str">
        <x:v>RTSP first-frame capture happened synchronously during GUI startup, blocking the Tk main thread while VideoCapture opened/read the stream.</x:v>
      </x:c>
      <x:c r="J10" s="25" t="str">
        <x:v>Operators perceive the tool as frozen and may retry or abandon fence configuration.</x:v>
      </x:c>
      <x:c r="K10" s="25" t="str">
        <x:v>HVAS Developer</x:v>
      </x:c>
      <x:c r="L10" s="25" t="str">
        <x:v>Closed</x:v>
      </x:c>
      <x:c r="M10" s="25" t="str">
        <x:v>2026-05-06</x:v>
      </x:c>
      <x:c r="N10" s="25" t="str">
        <x:v>2026-05-06</x:v>
      </x:c>
      <x:c r="O10" s="25" t="str">
        <x:v>Moved RTSP first-frame loading to an async worker queue and kept Tk UI updates on the main thread.</x:v>
      </x:c>
      <x:c r="P10" s="25" t="str">
        <x:v>GUI script compiled successfully; user later confirmed the frame window could appear.</x:v>
      </x:c>
      <x:c r="Q10" s="25" t="str">
        <x:v>Related file: scripts/draw_fence_gui.py.</x:v>
      </x:c>
    </x:row>
    <x:row r="11" ht="97.5" customHeight="1">
      <x:c r="A11" s="25" t="str">
        <x:v>QA-010</x:v>
      </x:c>
      <x:c r="B11" s="25" t="str">
        <x:v>Bug</x:v>
      </x:c>
      <x:c r="C11" s="25" t="str">
        <x:v>HVAS</x:v>
      </x:c>
      <x:c r="D11" s="25" t="str">
        <x:v>Parking fence GUI frame preview</x:v>
      </x:c>
      <x:c r="E11" s="25" t="str">
        <x:v>High</x:v>
      </x:c>
      <x:c r="F11" s="25" t="str">
        <x:v>High</x:v>
      </x:c>
      <x:c r="G11" s="25" t="str">
        <x:v>The parking-fence GUI could open without displaying the video frame.</x:v>
      </x:c>
      <x:c r="H11" s="25" t="str">
        <x:v>User reported that the parking electronic-fence window opened but had no frame image.</x:v>
      </x:c>
      <x:c r="I11" s="25" t="str">
        <x:v>The first frame was not reliably delivered/rendered after the RTSP loading path, and the preview needed explicit async handoff and canvas image retention.</x:v>
      </x:c>
      <x:c r="J11" s="25" t="str">
        <x:v>Users could not draw accurate no-parking zones because the source scene was not visible.</x:v>
      </x:c>
      <x:c r="K11" s="25" t="str">
        <x:v>HVAS Developer</x:v>
      </x:c>
      <x:c r="L11" s="25" t="str">
        <x:v>Closed</x:v>
      </x:c>
      <x:c r="M11" s="25" t="str">
        <x:v>2026-05-06</x:v>
      </x:c>
      <x:c r="N11" s="25" t="str">
        <x:v>2026-05-06</x:v>
      </x:c>
      <x:c r="O11" s="25" t="str">
        <x:v>Updated frame loading/render flow so the first available RTSP frame is passed to the GUI canvas safely.</x:v>
      </x:c>
      <x:c r="P11" s="25" t="str">
        <x:v>User retest: frame image could pop up after the fix.</x:v>
      </x:c>
      <x:c r="Q11" s="25" t="str">
        <x:v>Related file: scripts/draw_fence_gui.py.</x:v>
      </x:c>
    </x:row>
    <x:row r="12" ht="97.5" customHeight="1">
      <x:c r="A12" s="25" t="str">
        <x:v>QA-011</x:v>
      </x:c>
      <x:c r="B12" s="25" t="str">
        <x:v>Bug</x:v>
      </x:c>
      <x:c r="C12" s="25" t="str">
        <x:v>HVAS</x:v>
      </x:c>
      <x:c r="D12" s="25" t="str">
        <x:v>Parking fence polygon drawing</x:v>
      </x:c>
      <x:c r="E12" s="25" t="str">
        <x:v>Medium</x:v>
      </x:c>
      <x:c r="F12" s="25" t="str">
        <x:v>High</x:v>
      </x:c>
      <x:c r="G12" s="25" t="str">
        <x:v>After completing one polygon, starting a new drawing reused the existing polygon's first point, preventing two separated polygons.</x:v>
      </x:c>
      <x:c r="H12" s="25" t="str">
        <x:v>User reported that clicking Start Drawing after one polygon caused the new polygon's first point to default to the old polygon start.</x:v>
      </x:c>
      <x:c r="I12" s="25" t="str">
        <x:v>Completed polygon state and current drawing point state were not separated/reset cleanly.</x:v>
      </x:c>
      <x:c r="J12" s="25" t="str">
        <x:v>Operators could not configure multiple separate no-parking zones for one camera.</x:v>
      </x:c>
      <x:c r="K12" s="25" t="str">
        <x:v>HVAS Developer</x:v>
      </x:c>
      <x:c r="L12" s="25" t="str">
        <x:v>Closed</x:v>
      </x:c>
      <x:c r="M12" s="25" t="str">
        <x:v>2026-05-06</x:v>
      </x:c>
      <x:c r="N12" s="25" t="str">
        <x:v>2026-05-06</x:v>
      </x:c>
      <x:c r="O12" s="25" t="str">
        <x:v>Separated completed polygons from the current polygon, reset current points on Start Drawing, and saved nested polygon lists.</x:v>
      </x:c>
      <x:c r="P12" s="25" t="str">
        <x:v>Simulated multi-polygon save passed; script compilation succeeded.</x:v>
      </x:c>
      <x:c r="Q12" s="25" t="str">
        <x:v>Related file: scripts/draw_fence_gui.py.</x:v>
      </x:c>
    </x:row>
    <x:row r="13" ht="97.5" customHeight="1">
      <x:c r="A13" s="25" t="str">
        <x:v>QA-012</x:v>
      </x:c>
      <x:c r="B13" s="25" t="str">
        <x:v>Bug</x:v>
      </x:c>
      <x:c r="C13" s="25" t="str">
        <x:v>HVAS</x:v>
      </x:c>
      <x:c r="D13" s="25" t="str">
        <x:v>Parking violation event generation</x:v>
      </x:c>
      <x:c r="E13" s="25" t="str">
        <x:v>High</x:v>
      </x:c>
      <x:c r="F13" s="25" t="str">
        <x:v>High</x:v>
      </x:c>
      <x:c r="G13" s="25" t="str">
        <x:v>When three RTSP streams were running, parking-fence events were generated only once even though every sampled frame should have been a violation.</x:v>
      </x:c>
      <x:c r="H13" s="25" t="str">
        <x:v>User reported one parking event despite test video and drawn no-parking area implying repeated violations on each sampled frame.</x:v>
      </x:c>
      <x:c r="I13" s="25" t="str">
        <x:v>Dwell tracking behaved like a one-shot threshold trigger and did not continue emitting violations after the dwell threshold was reached.</x:v>
      </x:c>
      <x:c r="J13" s="25" t="str">
        <x:v>Continuous illegal parking could be severely underreported in the event timeline.</x:v>
      </x:c>
      <x:c r="K13" s="25" t="str">
        <x:v>HVAS Developer</x:v>
      </x:c>
      <x:c r="L13" s="25" t="str">
        <x:v>Closed</x:v>
      </x:c>
      <x:c r="M13" s="25" t="str">
        <x:v>2026-05-06</x:v>
      </x:c>
      <x:c r="N13" s="25" t="str">
        <x:v>2026-05-06</x:v>
      </x:c>
      <x:c r="O13" s="25" t="str">
        <x:v>Changed dwell tracking so after the dwell threshold is reached, every subsequent in-zone sampled frame can return a violation.</x:v>
      </x:c>
      <x:c r="P13" s="25" t="str">
        <x:v>Retest pattern with threshold 3 produced [0,0,1,1,1,1,1].</x:v>
      </x:c>
      <x:c r="Q13" s="25" t="str">
        <x:v>Related files: backend/services/dwell_tracker.py and backend/services/violation_detection.py.</x:v>
      </x:c>
    </x:row>
    <x:row r="14" ht="97.5" customHeight="1">
      <x:c r="A14" s="25" t="str">
        <x:v>QA-013</x:v>
      </x:c>
      <x:c r="B14" s="25" t="str">
        <x:v>Bug</x:v>
      </x:c>
      <x:c r="C14" s="25" t="str">
        <x:v>HVAS</x:v>
      </x:c>
      <x:c r="D14" s="25" t="str">
        <x:v>Parking violation duplicate reporting</x:v>
      </x:c>
      <x:c r="E14" s="25" t="str">
        <x:v>High</x:v>
      </x:c>
      <x:c r="F14" s="25" t="str">
        <x:v>High</x:v>
      </x:c>
      <x:c r="G14" s="25" t="str">
        <x:v>The same video frame could be reported multiple times as separate parking-fence events.</x:v>
      </x:c>
      <x:c r="H14" s="25" t="str">
        <x:v>User reported abnormal electronic-fence recognition where one frame was uploaded/reported repeatedly.</x:v>
      </x:c>
      <x:c r="I14" s="25" t="str">
        <x:v>The parking event persistence path did not reserve an idempotency key for source_id + event_type + frame_index before upload/save.</x:v>
      </x:c>
      <x:c r="J14" s="25" t="str">
        <x:v>Duplicate event cards inflate counts and make operator review unreliable.</x:v>
      </x:c>
      <x:c r="K14" s="25" t="str">
        <x:v>HVAS Developer</x:v>
      </x:c>
      <x:c r="L14" s="25" t="str">
        <x:v>Closed</x:v>
      </x:c>
      <x:c r="M14" s="25" t="str">
        <x:v>2026-05-06</x:v>
      </x:c>
      <x:c r="N14" s="25" t="str">
        <x:v>2026-05-06</x:v>
      </x:c>
      <x:c r="O14" s="25" t="str">
        <x:v>Added a per-process recent-frame reservation key with a lock and TTL; release occurs if upload or database save fails.</x:v>
      </x:c>
      <x:c r="P14" s="25" t="str">
        <x:v>Reservation test returned [True, False, True] for same-frame and different-frame cases.</x:v>
      </x:c>
      <x:c r="Q14" s="25" t="str">
        <x:v>Related file: backend/services/violation_detection.py.</x:v>
      </x:c>
    </x:row>
    <x:row r="15" ht="97.5" customHeight="1">
      <x:c r="A15" s="25" t="str">
        <x:v>QA-014</x:v>
      </x:c>
      <x:c r="B15" s="25" t="str">
        <x:v>Bug</x:v>
      </x:c>
      <x:c r="C15" s="25" t="str">
        <x:v>HVAS</x:v>
      </x:c>
      <x:c r="D15" s="25" t="str">
        <x:v>Events List detail view</x:v>
      </x:c>
      <x:c r="E15" s="25" t="str">
        <x:v>Medium</x:v>
      </x:c>
      <x:c r="F15" s="25" t="str">
        <x:v>Medium</x:v>
      </x:c>
      <x:c r="G15" s="25" t="str">
        <x:v>Event cards could not be opened to inspect eventID and all available event attributes.</x:v>
      </x:c>
      <x:c r="H15" s="25" t="str">
        <x:v>User requested clickable event cards that expose eventID and every obtainable property in the opened card.</x:v>
      </x:c>
      <x:c r="I15" s="25" t="str">
        <x:v>Events List only presented summary card data and lacked a detail modal/fetch flow for /api/events/&lt;event_id&gt;.</x:v>
      </x:c>
      <x:c r="J15" s="25" t="str">
        <x:v>Assessors and operators could not audit full event metadata from the UI.</x:v>
      </x:c>
      <x:c r="K15" s="25" t="str">
        <x:v>HVAS Developer</x:v>
      </x:c>
      <x:c r="L15" s="25" t="str">
        <x:v>Closed</x:v>
      </x:c>
      <x:c r="M15" s="25" t="str">
        <x:v>2026-05-06</x:v>
      </x:c>
      <x:c r="N15" s="25" t="str">
        <x:v>2026-05-06</x:v>
      </x:c>
      <x:c r="O15" s="25" t="str">
        <x:v>Added clickable/keyboard-openable event cards, a detail modal, event detail fetch, nested JSON attribute display, and copy JSON support.</x:v>
      </x:c>
      <x:c r="P15" s="25" t="str">
        <x:v>EventList.vue SFC parse check passed.</x:v>
      </x:c>
      <x:c r="Q15" s="25" t="str">
        <x:v>Related file: frontend/src/views/EventList.vue.</x:v>
      </x:c>
    </x:row>
  </x:sheetData>
  <x:dataValidations count="5">
    <x:dataValidation type="list" sqref="B2:B200">
      <x:formula1>"Bug,QA Gap,Documentation Gap,Security/Config Gap,Test Gap,Process Evidence Gap"</x:formula1>
    </x:dataValidation>
    <x:dataValidation type="list" sqref="C2:C200">
      <x:formula1>"HVAS,MUBS,Both,HVAS/MUBS"</x:formula1>
    </x:dataValidation>
    <x:dataValidation type="list" sqref="E2:E200">
      <x:formula1>"Low,Medium,High,Critical"</x:formula1>
    </x:dataValidation>
    <x:dataValidation type="list" sqref="F2:F200">
      <x:formula1>"Low,Medium,High"</x:formula1>
    </x:dataValidation>
    <x:dataValidation type="list" sqref="L2:L200">
      <x:formula1>"Open,In Progress,Closed,Deferred,Not a Defect"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7b616b0f234b5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18" t="str">
        <x:v>Status</x:v>
      </x:c>
      <x:c r="B1" s="18" t="str">
        <x:v>Severity</x:v>
      </x:c>
      <x:c r="C1" s="18" t="str">
        <x:v>Priority</x:v>
      </x:c>
      <x:c r="D1" s="18" t="str">
        <x:v>Type</x:v>
      </x:c>
      <x:c r="E1" s="18" t="str">
        <x:v>System</x:v>
      </x:c>
    </x:row>
    <x:row r="2">
      <x:c r="A2" t="str">
        <x:v>Open</x:v>
      </x:c>
      <x:c r="B2" t="str">
        <x:v>Low</x:v>
      </x:c>
      <x:c r="C2" t="str">
        <x:v>Low</x:v>
      </x:c>
      <x:c r="D2" t="str">
        <x:v>Bug</x:v>
      </x:c>
      <x:c r="E2" t="str">
        <x:v>HVAS</x:v>
      </x:c>
    </x:row>
    <x:row r="3">
      <x:c r="A3" t="str">
        <x:v>In Progress</x:v>
      </x:c>
      <x:c r="B3" t="str">
        <x:v>Medium</x:v>
      </x:c>
      <x:c r="C3" t="str">
        <x:v>Medium</x:v>
      </x:c>
      <x:c r="D3" t="str">
        <x:v>QA Gap</x:v>
      </x:c>
      <x:c r="E3" t="str">
        <x:v>MUBS</x:v>
      </x:c>
    </x:row>
    <x:row r="4">
      <x:c r="A4" t="str">
        <x:v>Closed</x:v>
      </x:c>
      <x:c r="B4" t="str">
        <x:v>High</x:v>
      </x:c>
      <x:c r="C4" t="str">
        <x:v>High</x:v>
      </x:c>
      <x:c r="D4" t="str">
        <x:v>Documentation Gap</x:v>
      </x:c>
      <x:c r="E4" t="str">
        <x:v>Both</x:v>
      </x:c>
    </x:row>
    <x:row r="5">
      <x:c r="A5" t="str">
        <x:v>Deferred</x:v>
      </x:c>
      <x:c r="B5" t="str">
        <x:v>Critical</x:v>
      </x:c>
      <x:c r="C5" t="str"/>
      <x:c r="D5" t="str">
        <x:v>Security/Config Gap</x:v>
      </x:c>
      <x:c r="E5" t="str">
        <x:v>HVAS/MUBS</x:v>
      </x:c>
    </x:row>
    <x:row r="6">
      <x:c r="A6" t="str">
        <x:v>Not a Defect</x:v>
      </x:c>
      <x:c r="B6" t="str"/>
      <x:c r="C6" t="str"/>
      <x:c r="D6" t="str">
        <x:v>Test Gap</x:v>
      </x:c>
      <x:c r="E6" t="str"/>
    </x:row>
    <x:row r="7">
      <x:c r="A7" t="str"/>
      <x:c r="B7" t="str"/>
      <x:c r="C7" t="str"/>
      <x:c r="D7" t="str">
        <x:v>Process Evidence Gap</x:v>
      </x:c>
      <x:c r="E7" t="str"/>
    </x:row>
    <x:row r="8">
      <x:c r="A8" t="str"/>
      <x:c r="B8" t="str"/>
      <x:c r="C8" t="str"/>
      <x:c r="D8" t="str"/>
      <x:c r="E8" t="str"/>
    </x:row>
  </x:sheetData>
  <x:pageMargins left="0.7" right="0.7" top="0.75" bottom="0.75" header="0.3" footer="0.3"/>
</x:worksheet>
</file>